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Data'!$B$2:$B$51</f>
            </numRef>
          </cat>
          <val>
            <numRef>
              <f>'Sales Data'!$G$2:$G$51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</row>
    <row r="2">
      <c r="A2" s="2" t="n">
        <v>46039</v>
      </c>
      <c r="B2" t="inlineStr">
        <is>
          <t>Widget A</t>
        </is>
      </c>
      <c r="C2" t="inlineStr">
        <is>
          <t>South</t>
        </is>
      </c>
      <c r="D2" t="inlineStr">
        <is>
          <t>Eve</t>
        </is>
      </c>
      <c r="E2" t="n">
        <v>44</v>
      </c>
      <c r="F2" t="n">
        <v>142.28</v>
      </c>
      <c r="G2">
        <f>E2*F2</f>
        <v/>
      </c>
      <c r="H2">
        <f>G2*0.6</f>
        <v/>
      </c>
      <c r="I2">
        <f>G2-H2</f>
        <v/>
      </c>
    </row>
    <row r="3">
      <c r="A3" s="2" t="n">
        <v>46094</v>
      </c>
      <c r="B3" t="inlineStr">
        <is>
          <t>Widget B</t>
        </is>
      </c>
      <c r="C3" t="inlineStr">
        <is>
          <t>South</t>
        </is>
      </c>
      <c r="D3" t="inlineStr">
        <is>
          <t>Diana</t>
        </is>
      </c>
      <c r="E3" t="n">
        <v>82</v>
      </c>
      <c r="F3" t="n">
        <v>79.44</v>
      </c>
      <c r="G3">
        <f>E3*F3</f>
        <v/>
      </c>
      <c r="H3">
        <f>G3*0.6</f>
        <v/>
      </c>
      <c r="I3">
        <f>G3-H3</f>
        <v/>
      </c>
    </row>
    <row r="4">
      <c r="A4" s="2" t="n">
        <v>46161</v>
      </c>
      <c r="B4" t="inlineStr">
        <is>
          <t>Service Z</t>
        </is>
      </c>
      <c r="C4" t="inlineStr">
        <is>
          <t>North</t>
        </is>
      </c>
      <c r="D4" t="inlineStr">
        <is>
          <t>Bob</t>
        </is>
      </c>
      <c r="E4" t="n">
        <v>46</v>
      </c>
      <c r="F4" t="n">
        <v>171.9</v>
      </c>
      <c r="G4">
        <f>E4*F4</f>
        <v/>
      </c>
      <c r="H4">
        <f>G4*0.6</f>
        <v/>
      </c>
      <c r="I4">
        <f>G4-H4</f>
        <v/>
      </c>
    </row>
    <row r="5">
      <c r="A5" s="2" t="n">
        <v>46085</v>
      </c>
      <c r="B5" t="inlineStr">
        <is>
          <t>Widget B</t>
        </is>
      </c>
      <c r="C5" t="inlineStr">
        <is>
          <t>North</t>
        </is>
      </c>
      <c r="D5" t="inlineStr">
        <is>
          <t>Bob</t>
        </is>
      </c>
      <c r="E5" t="n">
        <v>36</v>
      </c>
      <c r="F5" t="n">
        <v>178.1</v>
      </c>
      <c r="G5">
        <f>E5*F5</f>
        <v/>
      </c>
      <c r="H5">
        <f>G5*0.6</f>
        <v/>
      </c>
      <c r="I5">
        <f>G5-H5</f>
        <v/>
      </c>
    </row>
    <row r="6">
      <c r="A6" s="2" t="n">
        <v>46162</v>
      </c>
      <c r="B6" t="inlineStr">
        <is>
          <t>Service Z</t>
        </is>
      </c>
      <c r="C6" t="inlineStr">
        <is>
          <t>North</t>
        </is>
      </c>
      <c r="D6" t="inlineStr">
        <is>
          <t>Diana</t>
        </is>
      </c>
      <c r="E6" t="n">
        <v>51</v>
      </c>
      <c r="F6" t="n">
        <v>14.73</v>
      </c>
      <c r="G6">
        <f>E6*F6</f>
        <v/>
      </c>
      <c r="H6">
        <f>G6*0.6</f>
        <v/>
      </c>
      <c r="I6">
        <f>G6-H6</f>
        <v/>
      </c>
    </row>
    <row r="7">
      <c r="A7" s="2" t="n">
        <v>46053</v>
      </c>
      <c r="B7" t="inlineStr">
        <is>
          <t>Gadget X</t>
        </is>
      </c>
      <c r="C7" t="inlineStr">
        <is>
          <t>South</t>
        </is>
      </c>
      <c r="D7" t="inlineStr">
        <is>
          <t>Charlie</t>
        </is>
      </c>
      <c r="E7" t="n">
        <v>74</v>
      </c>
      <c r="F7" t="n">
        <v>107.02</v>
      </c>
      <c r="G7">
        <f>E7*F7</f>
        <v/>
      </c>
      <c r="H7">
        <f>G7*0.6</f>
        <v/>
      </c>
      <c r="I7">
        <f>G7-H7</f>
        <v/>
      </c>
    </row>
    <row r="8">
      <c r="A8" s="2" t="n">
        <v>46172</v>
      </c>
      <c r="B8" t="inlineStr">
        <is>
          <t>Gadget X</t>
        </is>
      </c>
      <c r="C8" t="inlineStr">
        <is>
          <t>North</t>
        </is>
      </c>
      <c r="D8" t="inlineStr">
        <is>
          <t>Charlie</t>
        </is>
      </c>
      <c r="E8" t="n">
        <v>78</v>
      </c>
      <c r="F8" t="n">
        <v>81.86</v>
      </c>
      <c r="G8">
        <f>E8*F8</f>
        <v/>
      </c>
      <c r="H8">
        <f>G8*0.6</f>
        <v/>
      </c>
      <c r="I8">
        <f>G8-H8</f>
        <v/>
      </c>
    </row>
    <row r="9">
      <c r="A9" s="2" t="n">
        <v>46090</v>
      </c>
      <c r="B9" t="inlineStr">
        <is>
          <t>Gadget X</t>
        </is>
      </c>
      <c r="C9" t="inlineStr">
        <is>
          <t>West</t>
        </is>
      </c>
      <c r="D9" t="inlineStr">
        <is>
          <t>Alice</t>
        </is>
      </c>
      <c r="E9" t="n">
        <v>44</v>
      </c>
      <c r="F9" t="n">
        <v>76.23999999999999</v>
      </c>
      <c r="G9">
        <f>E9*F9</f>
        <v/>
      </c>
      <c r="H9">
        <f>G9*0.6</f>
        <v/>
      </c>
      <c r="I9">
        <f>G9-H9</f>
        <v/>
      </c>
    </row>
    <row r="10">
      <c r="A10" s="2" t="n">
        <v>46148</v>
      </c>
      <c r="B10" t="inlineStr">
        <is>
          <t>Widget B</t>
        </is>
      </c>
      <c r="C10" t="inlineStr">
        <is>
          <t>West</t>
        </is>
      </c>
      <c r="D10" t="inlineStr">
        <is>
          <t>Diana</t>
        </is>
      </c>
      <c r="E10" t="n">
        <v>78</v>
      </c>
      <c r="F10" t="n">
        <v>136.25</v>
      </c>
      <c r="G10">
        <f>E10*F10</f>
        <v/>
      </c>
      <c r="H10">
        <f>G10*0.6</f>
        <v/>
      </c>
      <c r="I10">
        <f>G10-H10</f>
        <v/>
      </c>
    </row>
    <row r="11">
      <c r="A11" s="2" t="n">
        <v>46178</v>
      </c>
      <c r="B11" t="inlineStr">
        <is>
          <t>Widget B</t>
        </is>
      </c>
      <c r="C11" t="inlineStr">
        <is>
          <t>East</t>
        </is>
      </c>
      <c r="D11" t="inlineStr">
        <is>
          <t>Diana</t>
        </is>
      </c>
      <c r="E11" t="n">
        <v>44</v>
      </c>
      <c r="F11" t="n">
        <v>107.91</v>
      </c>
      <c r="G11">
        <f>E11*F11</f>
        <v/>
      </c>
      <c r="H11">
        <f>G11*0.6</f>
        <v/>
      </c>
      <c r="I11">
        <f>G11-H11</f>
        <v/>
      </c>
    </row>
    <row r="12">
      <c r="A12" s="2" t="n">
        <v>46132</v>
      </c>
      <c r="B12" t="inlineStr">
        <is>
          <t>Service Z</t>
        </is>
      </c>
      <c r="C12" t="inlineStr">
        <is>
          <t>West</t>
        </is>
      </c>
      <c r="D12" t="inlineStr">
        <is>
          <t>Bob</t>
        </is>
      </c>
      <c r="E12" t="n">
        <v>6</v>
      </c>
      <c r="F12" t="n">
        <v>135.51</v>
      </c>
      <c r="G12">
        <f>E12*F12</f>
        <v/>
      </c>
      <c r="H12">
        <f>G12*0.6</f>
        <v/>
      </c>
      <c r="I12">
        <f>G12-H12</f>
        <v/>
      </c>
    </row>
    <row r="13">
      <c r="A13" s="2" t="n">
        <v>46052</v>
      </c>
      <c r="B13" t="inlineStr">
        <is>
          <t>Widget A</t>
        </is>
      </c>
      <c r="C13" t="inlineStr">
        <is>
          <t>South</t>
        </is>
      </c>
      <c r="D13" t="inlineStr">
        <is>
          <t>Bob</t>
        </is>
      </c>
      <c r="E13" t="n">
        <v>35</v>
      </c>
      <c r="F13" t="n">
        <v>106.6</v>
      </c>
      <c r="G13">
        <f>E13*F13</f>
        <v/>
      </c>
      <c r="H13">
        <f>G13*0.6</f>
        <v/>
      </c>
      <c r="I13">
        <f>G13-H13</f>
        <v/>
      </c>
    </row>
    <row r="14">
      <c r="A14" s="2" t="n">
        <v>46085</v>
      </c>
      <c r="B14" t="inlineStr">
        <is>
          <t>Gadget Y</t>
        </is>
      </c>
      <c r="C14" t="inlineStr">
        <is>
          <t>North</t>
        </is>
      </c>
      <c r="D14" t="inlineStr">
        <is>
          <t>Alice</t>
        </is>
      </c>
      <c r="E14" t="n">
        <v>92</v>
      </c>
      <c r="F14" t="n">
        <v>55</v>
      </c>
      <c r="G14">
        <f>E14*F14</f>
        <v/>
      </c>
      <c r="H14">
        <f>G14*0.6</f>
        <v/>
      </c>
      <c r="I14">
        <f>G14-H14</f>
        <v/>
      </c>
    </row>
    <row r="15">
      <c r="A15" s="2" t="n">
        <v>46188</v>
      </c>
      <c r="B15" t="inlineStr">
        <is>
          <t>Service Z</t>
        </is>
      </c>
      <c r="C15" t="inlineStr">
        <is>
          <t>North</t>
        </is>
      </c>
      <c r="D15" t="inlineStr">
        <is>
          <t>Eve</t>
        </is>
      </c>
      <c r="E15" t="n">
        <v>13</v>
      </c>
      <c r="F15" t="n">
        <v>56.71</v>
      </c>
      <c r="G15">
        <f>E15*F15</f>
        <v/>
      </c>
      <c r="H15">
        <f>G15*0.6</f>
        <v/>
      </c>
      <c r="I15">
        <f>G15-H15</f>
        <v/>
      </c>
    </row>
    <row r="16">
      <c r="A16" s="2" t="n">
        <v>46047</v>
      </c>
      <c r="B16" t="inlineStr">
        <is>
          <t>Service Z</t>
        </is>
      </c>
      <c r="C16" t="inlineStr">
        <is>
          <t>South</t>
        </is>
      </c>
      <c r="D16" t="inlineStr">
        <is>
          <t>Eve</t>
        </is>
      </c>
      <c r="E16" t="n">
        <v>13</v>
      </c>
      <c r="F16" t="n">
        <v>118.87</v>
      </c>
      <c r="G16">
        <f>E16*F16</f>
        <v/>
      </c>
      <c r="H16">
        <f>G16*0.6</f>
        <v/>
      </c>
      <c r="I16">
        <f>G16-H16</f>
        <v/>
      </c>
    </row>
    <row r="17">
      <c r="A17" s="2" t="n">
        <v>46138</v>
      </c>
      <c r="B17" t="inlineStr">
        <is>
          <t>Widget A</t>
        </is>
      </c>
      <c r="C17" t="inlineStr">
        <is>
          <t>South</t>
        </is>
      </c>
      <c r="D17" t="inlineStr">
        <is>
          <t>Bob</t>
        </is>
      </c>
      <c r="E17" t="n">
        <v>73</v>
      </c>
      <c r="F17" t="n">
        <v>100.42</v>
      </c>
      <c r="G17">
        <f>E17*F17</f>
        <v/>
      </c>
      <c r="H17">
        <f>G17*0.6</f>
        <v/>
      </c>
      <c r="I17">
        <f>G17-H17</f>
        <v/>
      </c>
    </row>
    <row r="18">
      <c r="A18" s="2" t="n">
        <v>46080</v>
      </c>
      <c r="B18" t="inlineStr">
        <is>
          <t>Widget B</t>
        </is>
      </c>
      <c r="C18" t="inlineStr">
        <is>
          <t>South</t>
        </is>
      </c>
      <c r="D18" t="inlineStr">
        <is>
          <t>Charlie</t>
        </is>
      </c>
      <c r="E18" t="n">
        <v>82</v>
      </c>
      <c r="F18" t="n">
        <v>101.94</v>
      </c>
      <c r="G18">
        <f>E18*F18</f>
        <v/>
      </c>
      <c r="H18">
        <f>G18*0.6</f>
        <v/>
      </c>
      <c r="I18">
        <f>G18-H18</f>
        <v/>
      </c>
    </row>
    <row r="19">
      <c r="A19" s="2" t="n">
        <v>46185</v>
      </c>
      <c r="B19" t="inlineStr">
        <is>
          <t>Gadget Y</t>
        </is>
      </c>
      <c r="C19" t="inlineStr">
        <is>
          <t>West</t>
        </is>
      </c>
      <c r="D19" t="inlineStr">
        <is>
          <t>Diana</t>
        </is>
      </c>
      <c r="E19" t="n">
        <v>11</v>
      </c>
      <c r="F19" t="n">
        <v>161.1</v>
      </c>
      <c r="G19">
        <f>E19*F19</f>
        <v/>
      </c>
      <c r="H19">
        <f>G19*0.6</f>
        <v/>
      </c>
      <c r="I19">
        <f>G19-H19</f>
        <v/>
      </c>
    </row>
    <row r="20">
      <c r="A20" s="2" t="n">
        <v>46177</v>
      </c>
      <c r="B20" t="inlineStr">
        <is>
          <t>Service Z</t>
        </is>
      </c>
      <c r="C20" t="inlineStr">
        <is>
          <t>South</t>
        </is>
      </c>
      <c r="D20" t="inlineStr">
        <is>
          <t>Alice</t>
        </is>
      </c>
      <c r="E20" t="n">
        <v>51</v>
      </c>
      <c r="F20" t="n">
        <v>169.87</v>
      </c>
      <c r="G20">
        <f>E20*F20</f>
        <v/>
      </c>
      <c r="H20">
        <f>G20*0.6</f>
        <v/>
      </c>
      <c r="I20">
        <f>G20-H20</f>
        <v/>
      </c>
    </row>
    <row r="21">
      <c r="A21" s="2" t="n">
        <v>46032</v>
      </c>
      <c r="B21" t="inlineStr">
        <is>
          <t>Gadget Y</t>
        </is>
      </c>
      <c r="C21" t="inlineStr">
        <is>
          <t>North</t>
        </is>
      </c>
      <c r="D21" t="inlineStr">
        <is>
          <t>Diana</t>
        </is>
      </c>
      <c r="E21" t="n">
        <v>39</v>
      </c>
      <c r="F21" t="n">
        <v>38.92</v>
      </c>
      <c r="G21">
        <f>E21*F21</f>
        <v/>
      </c>
      <c r="H21">
        <f>G21*0.6</f>
        <v/>
      </c>
      <c r="I21">
        <f>G21-H21</f>
        <v/>
      </c>
    </row>
    <row r="22">
      <c r="A22" s="2" t="n">
        <v>46095</v>
      </c>
      <c r="B22" t="inlineStr">
        <is>
          <t>Widget B</t>
        </is>
      </c>
      <c r="C22" t="inlineStr">
        <is>
          <t>West</t>
        </is>
      </c>
      <c r="D22" t="inlineStr">
        <is>
          <t>Diana</t>
        </is>
      </c>
      <c r="E22" t="n">
        <v>12</v>
      </c>
      <c r="F22" t="n">
        <v>176.77</v>
      </c>
      <c r="G22">
        <f>E22*F22</f>
        <v/>
      </c>
      <c r="H22">
        <f>G22*0.6</f>
        <v/>
      </c>
      <c r="I22">
        <f>G22-H22</f>
        <v/>
      </c>
    </row>
    <row r="23">
      <c r="A23" s="2" t="n">
        <v>46158</v>
      </c>
      <c r="B23" t="inlineStr">
        <is>
          <t>Gadget X</t>
        </is>
      </c>
      <c r="C23" t="inlineStr">
        <is>
          <t>West</t>
        </is>
      </c>
      <c r="D23" t="inlineStr">
        <is>
          <t>Alice</t>
        </is>
      </c>
      <c r="E23" t="n">
        <v>90</v>
      </c>
      <c r="F23" t="n">
        <v>102.59</v>
      </c>
      <c r="G23">
        <f>E23*F23</f>
        <v/>
      </c>
      <c r="H23">
        <f>G23*0.6</f>
        <v/>
      </c>
      <c r="I23">
        <f>G23-H23</f>
        <v/>
      </c>
    </row>
    <row r="24">
      <c r="A24" s="2" t="n">
        <v>46107</v>
      </c>
      <c r="B24" t="inlineStr">
        <is>
          <t>Service Z</t>
        </is>
      </c>
      <c r="C24" t="inlineStr">
        <is>
          <t>North</t>
        </is>
      </c>
      <c r="D24" t="inlineStr">
        <is>
          <t>Alice</t>
        </is>
      </c>
      <c r="E24" t="n">
        <v>33</v>
      </c>
      <c r="F24" t="n">
        <v>166.73</v>
      </c>
      <c r="G24">
        <f>E24*F24</f>
        <v/>
      </c>
      <c r="H24">
        <f>G24*0.6</f>
        <v/>
      </c>
      <c r="I24">
        <f>G24-H24</f>
        <v/>
      </c>
    </row>
    <row r="25">
      <c r="A25" s="2" t="n">
        <v>46170</v>
      </c>
      <c r="B25" t="inlineStr">
        <is>
          <t>Gadget Y</t>
        </is>
      </c>
      <c r="C25" t="inlineStr">
        <is>
          <t>East</t>
        </is>
      </c>
      <c r="D25" t="inlineStr">
        <is>
          <t>Charlie</t>
        </is>
      </c>
      <c r="E25" t="n">
        <v>14</v>
      </c>
      <c r="F25" t="n">
        <v>162.64</v>
      </c>
      <c r="G25">
        <f>E25*F25</f>
        <v/>
      </c>
      <c r="H25">
        <f>G25*0.6</f>
        <v/>
      </c>
      <c r="I25">
        <f>G25-H25</f>
        <v/>
      </c>
    </row>
    <row r="26">
      <c r="A26" s="2" t="n">
        <v>46129</v>
      </c>
      <c r="B26" t="inlineStr">
        <is>
          <t>Widget A</t>
        </is>
      </c>
      <c r="C26" t="inlineStr">
        <is>
          <t>East</t>
        </is>
      </c>
      <c r="D26" t="inlineStr">
        <is>
          <t>Alice</t>
        </is>
      </c>
      <c r="E26" t="n">
        <v>42</v>
      </c>
      <c r="F26" t="n">
        <v>50.39</v>
      </c>
      <c r="G26">
        <f>E26*F26</f>
        <v/>
      </c>
      <c r="H26">
        <f>G26*0.6</f>
        <v/>
      </c>
      <c r="I26">
        <f>G26-H26</f>
        <v/>
      </c>
    </row>
    <row r="27">
      <c r="A27" s="2" t="n">
        <v>46119</v>
      </c>
      <c r="B27" t="inlineStr">
        <is>
          <t>Widget B</t>
        </is>
      </c>
      <c r="C27" t="inlineStr">
        <is>
          <t>North</t>
        </is>
      </c>
      <c r="D27" t="inlineStr">
        <is>
          <t>Diana</t>
        </is>
      </c>
      <c r="E27" t="n">
        <v>52</v>
      </c>
      <c r="F27" t="n">
        <v>157.61</v>
      </c>
      <c r="G27">
        <f>E27*F27</f>
        <v/>
      </c>
      <c r="H27">
        <f>G27*0.6</f>
        <v/>
      </c>
      <c r="I27">
        <f>G27-H27</f>
        <v/>
      </c>
    </row>
    <row r="28">
      <c r="A28" s="2" t="n">
        <v>46051</v>
      </c>
      <c r="B28" t="inlineStr">
        <is>
          <t>Gadget Y</t>
        </is>
      </c>
      <c r="C28" t="inlineStr">
        <is>
          <t>South</t>
        </is>
      </c>
      <c r="D28" t="inlineStr">
        <is>
          <t>Alice</t>
        </is>
      </c>
      <c r="E28" t="n">
        <v>52</v>
      </c>
      <c r="F28" t="n">
        <v>196.42</v>
      </c>
      <c r="G28">
        <f>E28*F28</f>
        <v/>
      </c>
      <c r="H28">
        <f>G28*0.6</f>
        <v/>
      </c>
      <c r="I28">
        <f>G28-H28</f>
        <v/>
      </c>
    </row>
    <row r="29">
      <c r="A29" s="2" t="n">
        <v>46115</v>
      </c>
      <c r="B29" t="inlineStr">
        <is>
          <t>Widget A</t>
        </is>
      </c>
      <c r="C29" t="inlineStr">
        <is>
          <t>North</t>
        </is>
      </c>
      <c r="D29" t="inlineStr">
        <is>
          <t>Charlie</t>
        </is>
      </c>
      <c r="E29" t="n">
        <v>20</v>
      </c>
      <c r="F29" t="n">
        <v>106.77</v>
      </c>
      <c r="G29">
        <f>E29*F29</f>
        <v/>
      </c>
      <c r="H29">
        <f>G29*0.6</f>
        <v/>
      </c>
      <c r="I29">
        <f>G29-H29</f>
        <v/>
      </c>
    </row>
    <row r="30">
      <c r="A30" s="2" t="n">
        <v>46183</v>
      </c>
      <c r="B30" t="inlineStr">
        <is>
          <t>Gadget X</t>
        </is>
      </c>
      <c r="C30" t="inlineStr">
        <is>
          <t>West</t>
        </is>
      </c>
      <c r="D30" t="inlineStr">
        <is>
          <t>Alice</t>
        </is>
      </c>
      <c r="E30" t="n">
        <v>73</v>
      </c>
      <c r="F30" t="n">
        <v>177.44</v>
      </c>
      <c r="G30">
        <f>E30*F30</f>
        <v/>
      </c>
      <c r="H30">
        <f>G30*0.6</f>
        <v/>
      </c>
      <c r="I30">
        <f>G30-H30</f>
        <v/>
      </c>
    </row>
    <row r="31">
      <c r="A31" s="2" t="n">
        <v>46043</v>
      </c>
      <c r="B31" t="inlineStr">
        <is>
          <t>Widget A</t>
        </is>
      </c>
      <c r="C31" t="inlineStr">
        <is>
          <t>South</t>
        </is>
      </c>
      <c r="D31" t="inlineStr">
        <is>
          <t>Charlie</t>
        </is>
      </c>
      <c r="E31" t="n">
        <v>25</v>
      </c>
      <c r="F31" t="n">
        <v>162.48</v>
      </c>
      <c r="G31">
        <f>E31*F31</f>
        <v/>
      </c>
      <c r="H31">
        <f>G31*0.6</f>
        <v/>
      </c>
      <c r="I31">
        <f>G31-H31</f>
        <v/>
      </c>
    </row>
    <row r="32">
      <c r="A32" s="2" t="n">
        <v>46067</v>
      </c>
      <c r="B32" t="inlineStr">
        <is>
          <t>Service Z</t>
        </is>
      </c>
      <c r="C32" t="inlineStr">
        <is>
          <t>East</t>
        </is>
      </c>
      <c r="D32" t="inlineStr">
        <is>
          <t>Bob</t>
        </is>
      </c>
      <c r="E32" t="n">
        <v>55</v>
      </c>
      <c r="F32" t="n">
        <v>101.2</v>
      </c>
      <c r="G32">
        <f>E32*F32</f>
        <v/>
      </c>
      <c r="H32">
        <f>G32*0.6</f>
        <v/>
      </c>
      <c r="I32">
        <f>G32-H32</f>
        <v/>
      </c>
    </row>
    <row r="33">
      <c r="A33" s="2" t="n">
        <v>46025</v>
      </c>
      <c r="B33" t="inlineStr">
        <is>
          <t>Gadget X</t>
        </is>
      </c>
      <c r="C33" t="inlineStr">
        <is>
          <t>West</t>
        </is>
      </c>
      <c r="D33" t="inlineStr">
        <is>
          <t>Bob</t>
        </is>
      </c>
      <c r="E33" t="n">
        <v>67</v>
      </c>
      <c r="F33" t="n">
        <v>18.29</v>
      </c>
      <c r="G33">
        <f>E33*F33</f>
        <v/>
      </c>
      <c r="H33">
        <f>G33*0.6</f>
        <v/>
      </c>
      <c r="I33">
        <f>G33-H33</f>
        <v/>
      </c>
    </row>
    <row r="34">
      <c r="A34" s="2" t="n">
        <v>46158</v>
      </c>
      <c r="B34" t="inlineStr">
        <is>
          <t>Gadget X</t>
        </is>
      </c>
      <c r="C34" t="inlineStr">
        <is>
          <t>South</t>
        </is>
      </c>
      <c r="D34" t="inlineStr">
        <is>
          <t>Eve</t>
        </is>
      </c>
      <c r="E34" t="n">
        <v>59</v>
      </c>
      <c r="F34" t="n">
        <v>56.59</v>
      </c>
      <c r="G34">
        <f>E34*F34</f>
        <v/>
      </c>
      <c r="H34">
        <f>G34*0.6</f>
        <v/>
      </c>
      <c r="I34">
        <f>G34-H34</f>
        <v/>
      </c>
    </row>
    <row r="35">
      <c r="A35" s="2" t="n">
        <v>46136</v>
      </c>
      <c r="B35" t="inlineStr">
        <is>
          <t>Gadget Y</t>
        </is>
      </c>
      <c r="C35" t="inlineStr">
        <is>
          <t>North</t>
        </is>
      </c>
      <c r="D35" t="inlineStr">
        <is>
          <t>Bob</t>
        </is>
      </c>
      <c r="E35" t="n">
        <v>83</v>
      </c>
      <c r="F35" t="n">
        <v>131.09</v>
      </c>
      <c r="G35">
        <f>E35*F35</f>
        <v/>
      </c>
      <c r="H35">
        <f>G35*0.6</f>
        <v/>
      </c>
      <c r="I35">
        <f>G35-H35</f>
        <v/>
      </c>
    </row>
    <row r="36">
      <c r="A36" s="2" t="n">
        <v>46035</v>
      </c>
      <c r="B36" t="inlineStr">
        <is>
          <t>Gadget Y</t>
        </is>
      </c>
      <c r="C36" t="inlineStr">
        <is>
          <t>West</t>
        </is>
      </c>
      <c r="D36" t="inlineStr">
        <is>
          <t>Bob</t>
        </is>
      </c>
      <c r="E36" t="n">
        <v>32</v>
      </c>
      <c r="F36" t="n">
        <v>126.96</v>
      </c>
      <c r="G36">
        <f>E36*F36</f>
        <v/>
      </c>
      <c r="H36">
        <f>G36*0.6</f>
        <v/>
      </c>
      <c r="I36">
        <f>G36-H36</f>
        <v/>
      </c>
    </row>
    <row r="37">
      <c r="A37" s="2" t="n">
        <v>46162</v>
      </c>
      <c r="B37" t="inlineStr">
        <is>
          <t>Service Z</t>
        </is>
      </c>
      <c r="C37" t="inlineStr">
        <is>
          <t>West</t>
        </is>
      </c>
      <c r="D37" t="inlineStr">
        <is>
          <t>Bob</t>
        </is>
      </c>
      <c r="E37" t="n">
        <v>68</v>
      </c>
      <c r="F37" t="n">
        <v>166.36</v>
      </c>
      <c r="G37">
        <f>E37*F37</f>
        <v/>
      </c>
      <c r="H37">
        <f>G37*0.6</f>
        <v/>
      </c>
      <c r="I37">
        <f>G37-H37</f>
        <v/>
      </c>
    </row>
    <row r="38">
      <c r="A38" s="2" t="n">
        <v>46070</v>
      </c>
      <c r="B38" t="inlineStr">
        <is>
          <t>Widget A</t>
        </is>
      </c>
      <c r="C38" t="inlineStr">
        <is>
          <t>North</t>
        </is>
      </c>
      <c r="D38" t="inlineStr">
        <is>
          <t>Eve</t>
        </is>
      </c>
      <c r="E38" t="n">
        <v>49</v>
      </c>
      <c r="F38" t="n">
        <v>181.69</v>
      </c>
      <c r="G38">
        <f>E38*F38</f>
        <v/>
      </c>
      <c r="H38">
        <f>G38*0.6</f>
        <v/>
      </c>
      <c r="I38">
        <f>G38-H38</f>
        <v/>
      </c>
    </row>
    <row r="39">
      <c r="A39" s="2" t="n">
        <v>46188</v>
      </c>
      <c r="B39" t="inlineStr">
        <is>
          <t>Widget B</t>
        </is>
      </c>
      <c r="C39" t="inlineStr">
        <is>
          <t>North</t>
        </is>
      </c>
      <c r="D39" t="inlineStr">
        <is>
          <t>Eve</t>
        </is>
      </c>
      <c r="E39" t="n">
        <v>52</v>
      </c>
      <c r="F39" t="n">
        <v>99.86</v>
      </c>
      <c r="G39">
        <f>E39*F39</f>
        <v/>
      </c>
      <c r="H39">
        <f>G39*0.6</f>
        <v/>
      </c>
      <c r="I39">
        <f>G39-H39</f>
        <v/>
      </c>
    </row>
    <row r="40">
      <c r="A40" s="2" t="n">
        <v>46121</v>
      </c>
      <c r="B40" t="inlineStr">
        <is>
          <t>Gadget Y</t>
        </is>
      </c>
      <c r="C40" t="inlineStr">
        <is>
          <t>West</t>
        </is>
      </c>
      <c r="D40" t="inlineStr">
        <is>
          <t>Charlie</t>
        </is>
      </c>
      <c r="E40" t="n">
        <v>60</v>
      </c>
      <c r="F40" t="n">
        <v>120.48</v>
      </c>
      <c r="G40">
        <f>E40*F40</f>
        <v/>
      </c>
      <c r="H40">
        <f>G40*0.6</f>
        <v/>
      </c>
      <c r="I40">
        <f>G40-H40</f>
        <v/>
      </c>
    </row>
    <row r="41">
      <c r="A41" s="2" t="n">
        <v>46024</v>
      </c>
      <c r="B41" t="inlineStr">
        <is>
          <t>Service Z</t>
        </is>
      </c>
      <c r="C41" t="inlineStr">
        <is>
          <t>West</t>
        </is>
      </c>
      <c r="D41" t="inlineStr">
        <is>
          <t>Bob</t>
        </is>
      </c>
      <c r="E41" t="n">
        <v>26</v>
      </c>
      <c r="F41" t="n">
        <v>171.71</v>
      </c>
      <c r="G41">
        <f>E41*F41</f>
        <v/>
      </c>
      <c r="H41">
        <f>G41*0.6</f>
        <v/>
      </c>
      <c r="I41">
        <f>G41-H41</f>
        <v/>
      </c>
    </row>
    <row r="42">
      <c r="A42" s="2" t="n">
        <v>46087</v>
      </c>
      <c r="B42" t="inlineStr">
        <is>
          <t>Widget B</t>
        </is>
      </c>
      <c r="C42" t="inlineStr">
        <is>
          <t>South</t>
        </is>
      </c>
      <c r="D42" t="inlineStr">
        <is>
          <t>Eve</t>
        </is>
      </c>
      <c r="E42" t="n">
        <v>12</v>
      </c>
      <c r="F42" t="n">
        <v>106.96</v>
      </c>
      <c r="G42">
        <f>E42*F42</f>
        <v/>
      </c>
      <c r="H42">
        <f>G42*0.6</f>
        <v/>
      </c>
      <c r="I42">
        <f>G42-H42</f>
        <v/>
      </c>
    </row>
    <row r="43">
      <c r="A43" s="2" t="n">
        <v>46089</v>
      </c>
      <c r="B43" t="inlineStr">
        <is>
          <t>Gadget Y</t>
        </is>
      </c>
      <c r="C43" t="inlineStr">
        <is>
          <t>North</t>
        </is>
      </c>
      <c r="D43" t="inlineStr">
        <is>
          <t>Bob</t>
        </is>
      </c>
      <c r="E43" t="n">
        <v>95</v>
      </c>
      <c r="F43" t="n">
        <v>97.19</v>
      </c>
      <c r="G43">
        <f>E43*F43</f>
        <v/>
      </c>
      <c r="H43">
        <f>G43*0.6</f>
        <v/>
      </c>
      <c r="I43">
        <f>G43-H43</f>
        <v/>
      </c>
    </row>
    <row r="44">
      <c r="A44" s="2" t="n">
        <v>46112</v>
      </c>
      <c r="B44" t="inlineStr">
        <is>
          <t>Service Z</t>
        </is>
      </c>
      <c r="C44" t="inlineStr">
        <is>
          <t>South</t>
        </is>
      </c>
      <c r="D44" t="inlineStr">
        <is>
          <t>Eve</t>
        </is>
      </c>
      <c r="E44" t="n">
        <v>81</v>
      </c>
      <c r="F44" t="n">
        <v>87.87</v>
      </c>
      <c r="G44">
        <f>E44*F44</f>
        <v/>
      </c>
      <c r="H44">
        <f>G44*0.6</f>
        <v/>
      </c>
      <c r="I44">
        <f>G44-H44</f>
        <v/>
      </c>
    </row>
    <row r="45">
      <c r="A45" s="2" t="n">
        <v>46131</v>
      </c>
      <c r="B45" t="inlineStr">
        <is>
          <t>Widget B</t>
        </is>
      </c>
      <c r="C45" t="inlineStr">
        <is>
          <t>East</t>
        </is>
      </c>
      <c r="D45" t="inlineStr">
        <is>
          <t>Diana</t>
        </is>
      </c>
      <c r="E45" t="n">
        <v>94</v>
      </c>
      <c r="F45" t="n">
        <v>129.88</v>
      </c>
      <c r="G45">
        <f>E45*F45</f>
        <v/>
      </c>
      <c r="H45">
        <f>G45*0.6</f>
        <v/>
      </c>
      <c r="I45">
        <f>G45-H45</f>
        <v/>
      </c>
    </row>
    <row r="46">
      <c r="A46" s="2" t="n">
        <v>46108</v>
      </c>
      <c r="B46" t="inlineStr">
        <is>
          <t>Widget A</t>
        </is>
      </c>
      <c r="C46" t="inlineStr">
        <is>
          <t>East</t>
        </is>
      </c>
      <c r="D46" t="inlineStr">
        <is>
          <t>Bob</t>
        </is>
      </c>
      <c r="E46" t="n">
        <v>18</v>
      </c>
      <c r="F46" t="n">
        <v>174.24</v>
      </c>
      <c r="G46">
        <f>E46*F46</f>
        <v/>
      </c>
      <c r="H46">
        <f>G46*0.6</f>
        <v/>
      </c>
      <c r="I46">
        <f>G46-H46</f>
        <v/>
      </c>
    </row>
    <row r="47">
      <c r="A47" s="2" t="n">
        <v>46049</v>
      </c>
      <c r="B47" t="inlineStr">
        <is>
          <t>Service Z</t>
        </is>
      </c>
      <c r="C47" t="inlineStr">
        <is>
          <t>North</t>
        </is>
      </c>
      <c r="D47" t="inlineStr">
        <is>
          <t>Bob</t>
        </is>
      </c>
      <c r="E47" t="n">
        <v>97</v>
      </c>
      <c r="F47" t="n">
        <v>30.34</v>
      </c>
      <c r="G47">
        <f>E47*F47</f>
        <v/>
      </c>
      <c r="H47">
        <f>G47*0.6</f>
        <v/>
      </c>
      <c r="I47">
        <f>G47-H47</f>
        <v/>
      </c>
    </row>
    <row r="48">
      <c r="A48" s="2" t="n">
        <v>46116</v>
      </c>
      <c r="B48" t="inlineStr">
        <is>
          <t>Gadget X</t>
        </is>
      </c>
      <c r="C48" t="inlineStr">
        <is>
          <t>South</t>
        </is>
      </c>
      <c r="D48" t="inlineStr">
        <is>
          <t>Diana</t>
        </is>
      </c>
      <c r="E48" t="n">
        <v>77</v>
      </c>
      <c r="F48" t="n">
        <v>12.19</v>
      </c>
      <c r="G48">
        <f>E48*F48</f>
        <v/>
      </c>
      <c r="H48">
        <f>G48*0.6</f>
        <v/>
      </c>
      <c r="I48">
        <f>G48-H48</f>
        <v/>
      </c>
    </row>
    <row r="49">
      <c r="A49" s="2" t="n">
        <v>46146</v>
      </c>
      <c r="B49" t="inlineStr">
        <is>
          <t>Service Z</t>
        </is>
      </c>
      <c r="C49" t="inlineStr">
        <is>
          <t>East</t>
        </is>
      </c>
      <c r="D49" t="inlineStr">
        <is>
          <t>Charlie</t>
        </is>
      </c>
      <c r="E49" t="n">
        <v>44</v>
      </c>
      <c r="F49" t="n">
        <v>135.94</v>
      </c>
      <c r="G49">
        <f>E49*F49</f>
        <v/>
      </c>
      <c r="H49">
        <f>G49*0.6</f>
        <v/>
      </c>
      <c r="I49">
        <f>G49-H49</f>
        <v/>
      </c>
    </row>
    <row r="50">
      <c r="A50" s="2" t="n">
        <v>46161</v>
      </c>
      <c r="B50" t="inlineStr">
        <is>
          <t>Widget A</t>
        </is>
      </c>
      <c r="C50" t="inlineStr">
        <is>
          <t>South</t>
        </is>
      </c>
      <c r="D50" t="inlineStr">
        <is>
          <t>Charlie</t>
        </is>
      </c>
      <c r="E50" t="n">
        <v>29</v>
      </c>
      <c r="F50" t="n">
        <v>198.07</v>
      </c>
      <c r="G50">
        <f>E50*F50</f>
        <v/>
      </c>
      <c r="H50">
        <f>G50*0.6</f>
        <v/>
      </c>
      <c r="I50">
        <f>G50-H50</f>
        <v/>
      </c>
    </row>
    <row r="51">
      <c r="A51" s="2" t="n">
        <v>46068</v>
      </c>
      <c r="B51" t="inlineStr">
        <is>
          <t>Gadget X</t>
        </is>
      </c>
      <c r="C51" t="inlineStr">
        <is>
          <t>West</t>
        </is>
      </c>
      <c r="D51" t="inlineStr">
        <is>
          <t>Diana</t>
        </is>
      </c>
      <c r="E51" t="n">
        <v>21</v>
      </c>
      <c r="F51" t="n">
        <v>45.59</v>
      </c>
      <c r="G51">
        <f>E51*F51</f>
        <v/>
      </c>
      <c r="H51">
        <f>G51*0.6</f>
        <v/>
      </c>
      <c r="I51">
        <f>G51-H51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3" t="inlineStr">
        <is>
          <t>Sales Summary</t>
        </is>
      </c>
    </row>
    <row r="2"/>
    <row r="3">
      <c r="A3" s="4" t="inlineStr">
        <is>
          <t>Total Revenue:</t>
        </is>
      </c>
      <c r="B3">
        <f>'Sales Data'!G52</f>
        <v/>
      </c>
    </row>
    <row r="4">
      <c r="A4" s="4" t="inlineStr">
        <is>
          <t>Total Profit:</t>
        </is>
      </c>
      <c r="B4">
        <f>'Sales Data'!I52</f>
        <v/>
      </c>
    </row>
    <row r="5">
      <c r="A5" s="4" t="inlineStr">
        <is>
          <t>Avg Deal Size:</t>
        </is>
      </c>
      <c r="B5">
        <f>AVERAGE('Sales Data'!G2:G51)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