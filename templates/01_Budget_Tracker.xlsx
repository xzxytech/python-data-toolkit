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2F5496"/>
      <sz val="16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Budget'!B1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Budget'!$A$2:$A$13</f>
            </numRef>
          </cat>
          <val>
            <numRef>
              <f>'Monthly Budget'!$B$2:$B$13</f>
            </numRef>
          </val>
        </ser>
        <ser>
          <idx val="1"/>
          <order val="1"/>
          <tx>
            <strRef>
              <f>'Monthly 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Budget'!$A$2:$A$13</f>
            </numRef>
          </cat>
          <val>
            <numRef>
              <f>'Monthly Budget'!$C$2:$C$13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5" customWidth="1" min="4" max="4"/>
    <col width="11" customWidth="1" min="5" max="5"/>
  </cols>
  <sheetData>
    <row r="1">
      <c r="A1" s="1" t="inlineStr">
        <is>
          <t>Category</t>
        </is>
      </c>
      <c r="B1" s="1" t="inlineStr">
        <is>
          <t>Budgeted</t>
        </is>
      </c>
      <c r="C1" s="1" t="inlineStr">
        <is>
          <t>Actual</t>
        </is>
      </c>
      <c r="D1" s="1" t="inlineStr">
        <is>
          <t>Difference</t>
        </is>
      </c>
      <c r="E1" s="1" t="inlineStr">
        <is>
          <t>% Used</t>
        </is>
      </c>
    </row>
    <row r="2">
      <c r="A2" t="inlineStr">
        <is>
          <t>Housing</t>
        </is>
      </c>
      <c r="B2" t="n">
        <v>360</v>
      </c>
      <c r="C2">
        <f>B2*RAND()*1.2</f>
        <v/>
      </c>
      <c r="D2">
        <f>B2-C2</f>
        <v/>
      </c>
      <c r="E2" s="2">
        <f>C2/B2</f>
        <v/>
      </c>
    </row>
    <row r="3">
      <c r="A3" t="inlineStr">
        <is>
          <t>Transportation</t>
        </is>
      </c>
      <c r="B3" t="n">
        <v>1537</v>
      </c>
      <c r="C3">
        <f>B3*RAND()*1.2</f>
        <v/>
      </c>
      <c r="D3">
        <f>B3-C3</f>
        <v/>
      </c>
      <c r="E3" s="2">
        <f>C3/B3</f>
        <v/>
      </c>
    </row>
    <row r="4">
      <c r="A4" t="inlineStr">
        <is>
          <t>Food &amp; Dining</t>
        </is>
      </c>
      <c r="B4" t="n">
        <v>1903</v>
      </c>
      <c r="C4">
        <f>B4*RAND()*1.2</f>
        <v/>
      </c>
      <c r="D4">
        <f>B4-C4</f>
        <v/>
      </c>
      <c r="E4" s="2">
        <f>C4/B4</f>
        <v/>
      </c>
    </row>
    <row r="5">
      <c r="A5" t="inlineStr">
        <is>
          <t>Utilities</t>
        </is>
      </c>
      <c r="B5" t="n">
        <v>700</v>
      </c>
      <c r="C5">
        <f>B5*RAND()*1.2</f>
        <v/>
      </c>
      <c r="D5">
        <f>B5-C5</f>
        <v/>
      </c>
      <c r="E5" s="2">
        <f>C5/B5</f>
        <v/>
      </c>
    </row>
    <row r="6">
      <c r="A6" t="inlineStr">
        <is>
          <t>Insurance</t>
        </is>
      </c>
      <c r="B6" t="n">
        <v>1816</v>
      </c>
      <c r="C6">
        <f>B6*RAND()*1.2</f>
        <v/>
      </c>
      <c r="D6">
        <f>B6-C6</f>
        <v/>
      </c>
      <c r="E6" s="2">
        <f>C6/B6</f>
        <v/>
      </c>
    </row>
    <row r="7">
      <c r="A7" t="inlineStr">
        <is>
          <t>Healthcare</t>
        </is>
      </c>
      <c r="B7" t="n">
        <v>320</v>
      </c>
      <c r="C7">
        <f>B7*RAND()*1.2</f>
        <v/>
      </c>
      <c r="D7">
        <f>B7-C7</f>
        <v/>
      </c>
      <c r="E7" s="2">
        <f>C7/B7</f>
        <v/>
      </c>
    </row>
    <row r="8">
      <c r="A8" t="inlineStr">
        <is>
          <t>Entertainment</t>
        </is>
      </c>
      <c r="B8" t="n">
        <v>1789</v>
      </c>
      <c r="C8">
        <f>B8*RAND()*1.2</f>
        <v/>
      </c>
      <c r="D8">
        <f>B8-C8</f>
        <v/>
      </c>
      <c r="E8" s="2">
        <f>C8/B8</f>
        <v/>
      </c>
    </row>
    <row r="9">
      <c r="A9" t="inlineStr">
        <is>
          <t>Shopping</t>
        </is>
      </c>
      <c r="B9" t="n">
        <v>260</v>
      </c>
      <c r="C9">
        <f>B9*RAND()*1.2</f>
        <v/>
      </c>
      <c r="D9">
        <f>B9-C9</f>
        <v/>
      </c>
      <c r="E9" s="2">
        <f>C9/B9</f>
        <v/>
      </c>
    </row>
    <row r="10">
      <c r="A10" t="inlineStr">
        <is>
          <t>Personal Care</t>
        </is>
      </c>
      <c r="B10" t="n">
        <v>645</v>
      </c>
      <c r="C10">
        <f>B10*RAND()*1.2</f>
        <v/>
      </c>
      <c r="D10">
        <f>B10-C10</f>
        <v/>
      </c>
      <c r="E10" s="2">
        <f>C10/B10</f>
        <v/>
      </c>
    </row>
    <row r="11">
      <c r="A11" t="inlineStr">
        <is>
          <t>Education</t>
        </is>
      </c>
      <c r="B11" t="n">
        <v>1284</v>
      </c>
      <c r="C11">
        <f>B11*RAND()*1.2</f>
        <v/>
      </c>
      <c r="D11">
        <f>B11-C11</f>
        <v/>
      </c>
      <c r="E11" s="2">
        <f>C11/B11</f>
        <v/>
      </c>
    </row>
    <row r="12">
      <c r="A12" t="inlineStr">
        <is>
          <t>Savings</t>
        </is>
      </c>
      <c r="B12" t="n">
        <v>1499</v>
      </c>
      <c r="C12">
        <f>B12*RAND()*1.2</f>
        <v/>
      </c>
      <c r="D12">
        <f>B12-C12</f>
        <v/>
      </c>
      <c r="E12" s="2">
        <f>C12/B12</f>
        <v/>
      </c>
    </row>
    <row r="13">
      <c r="A13" t="inlineStr">
        <is>
          <t>Debt Payments</t>
        </is>
      </c>
      <c r="B13" t="n">
        <v>1814</v>
      </c>
      <c r="C13">
        <f>B13*RAND()*1.2</f>
        <v/>
      </c>
      <c r="D13">
        <f>B13-C13</f>
        <v/>
      </c>
      <c r="E13" s="2">
        <f>C13/B13</f>
        <v/>
      </c>
    </row>
    <row r="14">
      <c r="A14" s="3" t="inlineStr">
        <is>
          <t>TOTAL</t>
        </is>
      </c>
      <c r="B14" s="3">
        <f>SUM(B2:B13)</f>
        <v/>
      </c>
      <c r="C14" s="3">
        <f>SUM(C2:C13)</f>
        <v/>
      </c>
      <c r="D14" s="3">
        <f>SUM(D2:D13)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Budget Dashboard</t>
        </is>
      </c>
    </row>
    <row r="3">
      <c r="A3" s="3" t="inlineStr">
        <is>
          <t>Month:</t>
        </is>
      </c>
      <c r="B3" t="inlineStr">
        <is>
          <t>June 2026</t>
        </is>
      </c>
    </row>
    <row r="4">
      <c r="A4" s="3" t="inlineStr">
        <is>
          <t>Total Budget:</t>
        </is>
      </c>
      <c r="B4">
        <f>'Monthly Budget'!B14</f>
        <v/>
      </c>
    </row>
    <row r="5">
      <c r="A5" s="3" t="inlineStr">
        <is>
          <t>Total Spent:</t>
        </is>
      </c>
      <c r="B5">
        <f>'Monthly Budget'!C14</f>
        <v/>
      </c>
    </row>
    <row r="6">
      <c r="A6" s="3" t="inlineStr">
        <is>
          <t>Remaining:</t>
        </is>
      </c>
      <c r="B6">
        <f>B4-B5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2026-06-19T16:39:19Z</dcterms:created>
  <dcterms:modified xmlns:dcterms="http://purl.org/dc/terms/" xmlns:xsi="http://www.w3.org/2001/XMLSchema-instance" xsi:type="dcterms:W3CDTF">2026-06-19T16:39:19Z</dcterms:modified>
</cp:coreProperties>
</file>